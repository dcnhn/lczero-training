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0_Repos\lczero-training\"/>
    </mc:Choice>
  </mc:AlternateContent>
  <xr:revisionPtr revIDLastSave="0" documentId="13_ncr:1_{36759CC1-5CAE-4312-B566-6D0986288FC1}" xr6:coauthVersionLast="47" xr6:coauthVersionMax="47" xr10:uidLastSave="{00000000-0000-0000-0000-000000000000}"/>
  <bookViews>
    <workbookView xWindow="8890" yWindow="2080" windowWidth="24550" windowHeight="15370" xr2:uid="{00000000-000D-0000-FFFF-FFFF00000000}"/>
  </bookViews>
  <sheets>
    <sheet name="Valid sets" sheetId="1" r:id="rId1"/>
    <sheet name="Sets with corrupted data" sheetId="2" r:id="rId2"/>
  </sheets>
  <definedNames>
    <definedName name="_xlnm._FilterDatabase" localSheetId="0" hidden="1">'Valid sets'!$A$1:$E$1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3" i="1"/>
  <c r="F2" i="1"/>
  <c r="G2" i="1"/>
  <c r="E22" i="1"/>
  <c r="E23" i="1"/>
  <c r="E24" i="1" s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l="1"/>
  <c r="E17" i="1" s="1"/>
  <c r="E18" i="1" l="1"/>
  <c r="E25" i="1" l="1"/>
  <c r="E19" i="1"/>
  <c r="E20" i="1" s="1"/>
  <c r="E21" i="1" s="1"/>
</calcChain>
</file>

<file path=xl/sharedStrings.xml><?xml version="1.0" encoding="utf-8"?>
<sst xmlns="http://schemas.openxmlformats.org/spreadsheetml/2006/main" count="57" uniqueCount="32">
  <si>
    <t>name</t>
  </si>
  <si>
    <t>training-run1--20240819-1917</t>
  </si>
  <si>
    <t>Protobuf Version</t>
  </si>
  <si>
    <t>V6</t>
  </si>
  <si>
    <t>Number of chunks</t>
  </si>
  <si>
    <t>Number of positions</t>
  </si>
  <si>
    <t>training-run1--20230505-0217</t>
  </si>
  <si>
    <t>training-run1--20230415-1317</t>
  </si>
  <si>
    <t>training-run1--20250209-1017</t>
  </si>
  <si>
    <t>Total number of positions</t>
  </si>
  <si>
    <t>training-run1--20230415-1417</t>
  </si>
  <si>
    <t>training-run1--20230505-0317</t>
  </si>
  <si>
    <t>training-run1--20230505-0817</t>
  </si>
  <si>
    <t>training-run1--20230505-0917</t>
  </si>
  <si>
    <t>training-run2--20210605-0517</t>
  </si>
  <si>
    <t>training-run1--20210605-0516</t>
  </si>
  <si>
    <t>training-run3--20210605-0521</t>
  </si>
  <si>
    <t>training-run3-test75-20210314-1134</t>
  </si>
  <si>
    <t>training-run3-test75-20210923-1917</t>
  </si>
  <si>
    <t>training-run3-test75-20210618-0354</t>
  </si>
  <si>
    <t>training-run3-test75-20210603-1203</t>
  </si>
  <si>
    <t>training-run3-test75-20210924-0917</t>
  </si>
  <si>
    <t>Averaged positions per chunk</t>
  </si>
  <si>
    <t>training-run3-test75-20210815-1418</t>
  </si>
  <si>
    <t>training-run3-test75-20210924-0617</t>
  </si>
  <si>
    <t>training-run3-test75-20210923-2017</t>
  </si>
  <si>
    <t>training-run3-test75-20210923-2117</t>
  </si>
  <si>
    <t>training-run3-test75-20210923-2317</t>
  </si>
  <si>
    <t>training-run3-test75-20210923-2217</t>
  </si>
  <si>
    <t>training-run3-test75-20210924-0517
training-run3-test75-20210924-0717
training-run3-test75-20210924-0817</t>
  </si>
  <si>
    <t>training-run3-test75-20210924-0117
training-run3-test75-20210924-0217</t>
  </si>
  <si>
    <t>Total number of chunks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</si>
</sst>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29" sqref="G29"/>
    </sheetView>
  </sheetViews>
  <sheetFormatPr baseColWidth="10" defaultColWidth="8.7265625" defaultRowHeight="14.5" x14ac:dyDescent="0.35"/>
  <cols>
    <col min="1" max="1" width="42.08984375" customWidth="1"/>
    <col min="2" max="2" width="17.54296875" bestFit="1" customWidth="1"/>
    <col min="3" max="3" width="18.54296875" bestFit="1" customWidth="1"/>
    <col min="4" max="4" width="21.7265625" customWidth="1"/>
    <col min="5" max="5" width="25" bestFit="1" customWidth="1"/>
    <col min="6" max="6" width="36.6328125" customWidth="1"/>
    <col min="7" max="7" width="33.54296875" customWidth="1"/>
  </cols>
  <sheetData>
    <row r="1" spans="1:7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9</v>
      </c>
      <c r="F1" s="1" t="s">
        <v>31</v>
      </c>
      <c r="G1" s="1" t="s">
        <v>22</v>
      </c>
    </row>
    <row r="2" spans="1:7" x14ac:dyDescent="0.35">
      <c r="A2" t="s">
        <v>15</v>
      </c>
      <c r="B2" t="s">
        <v>3</v>
      </c>
      <c r="C2">
        <v>2662</v>
      </c>
      <c r="D2">
        <v>278008</v>
      </c>
      <c r="E2">
        <f>D2</f>
        <v>278008</v>
      </c>
      <c r="F2">
        <f>C2</f>
        <v>2662</v>
      </c>
      <c r="G2">
        <f>SUM(D2:D25)/SUM(C2:C25)</f>
        <v>108.80899788448355</v>
      </c>
    </row>
    <row r="3" spans="1:7" x14ac:dyDescent="0.35">
      <c r="A3" t="s">
        <v>7</v>
      </c>
      <c r="B3" t="s">
        <v>3</v>
      </c>
      <c r="C3">
        <v>94183</v>
      </c>
      <c r="D3">
        <v>10368107</v>
      </c>
      <c r="E3">
        <f t="shared" ref="E3:E25" si="0">E2+D3</f>
        <v>10646115</v>
      </c>
      <c r="F3">
        <f>F2+C3</f>
        <v>96845</v>
      </c>
    </row>
    <row r="4" spans="1:7" x14ac:dyDescent="0.35">
      <c r="A4" t="s">
        <v>10</v>
      </c>
      <c r="B4" t="s">
        <v>3</v>
      </c>
      <c r="C4">
        <v>36521</v>
      </c>
      <c r="D4">
        <v>4045389</v>
      </c>
      <c r="E4">
        <f t="shared" si="0"/>
        <v>14691504</v>
      </c>
      <c r="F4">
        <f t="shared" ref="F4:F25" si="1">F3+C4</f>
        <v>133366</v>
      </c>
    </row>
    <row r="5" spans="1:7" x14ac:dyDescent="0.35">
      <c r="A5" t="s">
        <v>6</v>
      </c>
      <c r="B5" t="s">
        <v>3</v>
      </c>
      <c r="C5">
        <v>82910</v>
      </c>
      <c r="D5">
        <v>9020629</v>
      </c>
      <c r="E5">
        <f t="shared" si="0"/>
        <v>23712133</v>
      </c>
      <c r="F5">
        <f t="shared" si="1"/>
        <v>216276</v>
      </c>
    </row>
    <row r="6" spans="1:7" x14ac:dyDescent="0.35">
      <c r="A6" t="s">
        <v>11</v>
      </c>
      <c r="B6" t="s">
        <v>3</v>
      </c>
      <c r="C6">
        <v>28343</v>
      </c>
      <c r="D6">
        <v>3122029</v>
      </c>
      <c r="E6">
        <f t="shared" si="0"/>
        <v>26834162</v>
      </c>
      <c r="F6">
        <f t="shared" si="1"/>
        <v>244619</v>
      </c>
    </row>
    <row r="7" spans="1:7" x14ac:dyDescent="0.35">
      <c r="A7" t="s">
        <v>12</v>
      </c>
      <c r="B7" t="s">
        <v>3</v>
      </c>
      <c r="C7">
        <v>36203</v>
      </c>
      <c r="D7">
        <v>4012237</v>
      </c>
      <c r="E7">
        <f t="shared" si="0"/>
        <v>30846399</v>
      </c>
      <c r="F7">
        <f t="shared" si="1"/>
        <v>280822</v>
      </c>
    </row>
    <row r="8" spans="1:7" x14ac:dyDescent="0.35">
      <c r="A8" t="s">
        <v>13</v>
      </c>
      <c r="B8" t="s">
        <v>3</v>
      </c>
      <c r="C8">
        <v>18083</v>
      </c>
      <c r="D8">
        <v>1978914</v>
      </c>
      <c r="E8">
        <f t="shared" si="0"/>
        <v>32825313</v>
      </c>
      <c r="F8">
        <f t="shared" si="1"/>
        <v>298905</v>
      </c>
    </row>
    <row r="9" spans="1:7" x14ac:dyDescent="0.35">
      <c r="A9" t="s">
        <v>1</v>
      </c>
      <c r="B9" t="s">
        <v>3</v>
      </c>
      <c r="C9">
        <v>35423</v>
      </c>
      <c r="D9">
        <v>3894864</v>
      </c>
      <c r="E9">
        <f t="shared" si="0"/>
        <v>36720177</v>
      </c>
      <c r="F9">
        <f t="shared" si="1"/>
        <v>334328</v>
      </c>
    </row>
    <row r="10" spans="1:7" x14ac:dyDescent="0.35">
      <c r="A10" t="s">
        <v>8</v>
      </c>
      <c r="B10" t="s">
        <v>3</v>
      </c>
      <c r="C10">
        <v>19443</v>
      </c>
      <c r="D10">
        <v>2142829</v>
      </c>
      <c r="E10">
        <f t="shared" si="0"/>
        <v>38863006</v>
      </c>
      <c r="F10">
        <f t="shared" si="1"/>
        <v>353771</v>
      </c>
    </row>
    <row r="11" spans="1:7" x14ac:dyDescent="0.35">
      <c r="A11" t="s">
        <v>14</v>
      </c>
      <c r="B11" t="s">
        <v>3</v>
      </c>
      <c r="C11">
        <v>33992</v>
      </c>
      <c r="D11">
        <v>3688005</v>
      </c>
      <c r="E11">
        <f t="shared" si="0"/>
        <v>42551011</v>
      </c>
      <c r="F11">
        <f t="shared" si="1"/>
        <v>387763</v>
      </c>
    </row>
    <row r="12" spans="1:7" x14ac:dyDescent="0.35">
      <c r="A12" t="s">
        <v>16</v>
      </c>
      <c r="B12" t="s">
        <v>3</v>
      </c>
      <c r="C12">
        <v>7690</v>
      </c>
      <c r="D12">
        <v>849932</v>
      </c>
      <c r="E12">
        <f t="shared" si="0"/>
        <v>43400943</v>
      </c>
      <c r="F12">
        <f t="shared" si="1"/>
        <v>395453</v>
      </c>
    </row>
    <row r="13" spans="1:7" x14ac:dyDescent="0.35">
      <c r="A13" t="s">
        <v>17</v>
      </c>
      <c r="B13" t="s">
        <v>3</v>
      </c>
      <c r="C13">
        <v>80538</v>
      </c>
      <c r="D13">
        <v>7525057</v>
      </c>
      <c r="E13">
        <f t="shared" si="0"/>
        <v>50926000</v>
      </c>
      <c r="F13">
        <f t="shared" si="1"/>
        <v>475991</v>
      </c>
    </row>
    <row r="14" spans="1:7" x14ac:dyDescent="0.35">
      <c r="A14" t="s">
        <v>20</v>
      </c>
      <c r="B14" t="s">
        <v>3</v>
      </c>
      <c r="C14">
        <v>368438</v>
      </c>
      <c r="D14">
        <v>40517339</v>
      </c>
      <c r="E14">
        <f t="shared" si="0"/>
        <v>91443339</v>
      </c>
      <c r="F14">
        <f t="shared" si="1"/>
        <v>844429</v>
      </c>
    </row>
    <row r="15" spans="1:7" x14ac:dyDescent="0.35">
      <c r="A15" t="s">
        <v>19</v>
      </c>
      <c r="B15" t="s">
        <v>3</v>
      </c>
      <c r="C15">
        <v>326093</v>
      </c>
      <c r="D15">
        <v>36007682</v>
      </c>
      <c r="E15">
        <f t="shared" si="0"/>
        <v>127451021</v>
      </c>
      <c r="F15">
        <f t="shared" si="1"/>
        <v>1170522</v>
      </c>
    </row>
    <row r="16" spans="1:7" x14ac:dyDescent="0.35">
      <c r="A16" t="s">
        <v>23</v>
      </c>
      <c r="B16" t="s">
        <v>3</v>
      </c>
      <c r="C16">
        <v>326188</v>
      </c>
      <c r="D16">
        <v>35718012</v>
      </c>
      <c r="E16">
        <f t="shared" si="0"/>
        <v>163169033</v>
      </c>
      <c r="F16">
        <f t="shared" si="1"/>
        <v>1496710</v>
      </c>
    </row>
    <row r="17" spans="1:6" x14ac:dyDescent="0.35">
      <c r="A17" t="s">
        <v>18</v>
      </c>
      <c r="B17" t="s">
        <v>3</v>
      </c>
      <c r="C17">
        <v>331177</v>
      </c>
      <c r="D17">
        <v>35989481</v>
      </c>
      <c r="E17">
        <f t="shared" si="0"/>
        <v>199158514</v>
      </c>
      <c r="F17">
        <f t="shared" si="1"/>
        <v>1827887</v>
      </c>
    </row>
    <row r="18" spans="1:6" x14ac:dyDescent="0.35">
      <c r="A18" t="s">
        <v>25</v>
      </c>
      <c r="B18" t="s">
        <v>3</v>
      </c>
      <c r="C18">
        <v>310952</v>
      </c>
      <c r="D18">
        <v>33790070</v>
      </c>
      <c r="E18">
        <f t="shared" si="0"/>
        <v>232948584</v>
      </c>
      <c r="F18">
        <f t="shared" si="1"/>
        <v>2138839</v>
      </c>
    </row>
    <row r="19" spans="1:6" x14ac:dyDescent="0.35">
      <c r="A19" t="s">
        <v>26</v>
      </c>
      <c r="B19" t="s">
        <v>3</v>
      </c>
      <c r="C19">
        <v>304853</v>
      </c>
      <c r="D19">
        <v>33141797</v>
      </c>
      <c r="E19">
        <f t="shared" si="0"/>
        <v>266090381</v>
      </c>
      <c r="F19">
        <f t="shared" si="1"/>
        <v>2443692</v>
      </c>
    </row>
    <row r="20" spans="1:6" x14ac:dyDescent="0.35">
      <c r="A20" t="s">
        <v>28</v>
      </c>
      <c r="B20" t="s">
        <v>3</v>
      </c>
      <c r="C20">
        <v>302375</v>
      </c>
      <c r="D20">
        <v>32875805</v>
      </c>
      <c r="E20">
        <f t="shared" si="0"/>
        <v>298966186</v>
      </c>
      <c r="F20">
        <f t="shared" si="1"/>
        <v>2746067</v>
      </c>
    </row>
    <row r="21" spans="1:6" x14ac:dyDescent="0.35">
      <c r="A21" t="s">
        <v>27</v>
      </c>
      <c r="B21" t="s">
        <v>3</v>
      </c>
      <c r="C21">
        <v>303109</v>
      </c>
      <c r="D21">
        <v>32958247</v>
      </c>
      <c r="E21">
        <f t="shared" si="0"/>
        <v>331924433</v>
      </c>
      <c r="F21">
        <f t="shared" si="1"/>
        <v>3049176</v>
      </c>
    </row>
    <row r="22" spans="1:6" ht="29" x14ac:dyDescent="0.35">
      <c r="A22" s="2" t="s">
        <v>30</v>
      </c>
      <c r="B22" t="s">
        <v>3</v>
      </c>
      <c r="C22">
        <v>600000</v>
      </c>
      <c r="D22">
        <v>65242480</v>
      </c>
      <c r="E22">
        <f t="shared" si="0"/>
        <v>397166913</v>
      </c>
      <c r="F22">
        <f t="shared" si="1"/>
        <v>3649176</v>
      </c>
    </row>
    <row r="23" spans="1:6" ht="43.5" x14ac:dyDescent="0.35">
      <c r="A23" s="2" t="s">
        <v>29</v>
      </c>
      <c r="B23" t="s">
        <v>3</v>
      </c>
      <c r="C23">
        <v>903632</v>
      </c>
      <c r="D23">
        <v>98271032</v>
      </c>
      <c r="E23">
        <f t="shared" si="0"/>
        <v>495437945</v>
      </c>
      <c r="F23">
        <f t="shared" si="1"/>
        <v>4552808</v>
      </c>
    </row>
    <row r="24" spans="1:6" x14ac:dyDescent="0.35">
      <c r="A24" t="s">
        <v>24</v>
      </c>
      <c r="B24" t="s">
        <v>3</v>
      </c>
      <c r="C24">
        <v>315833</v>
      </c>
      <c r="D24">
        <v>34336028</v>
      </c>
      <c r="E24">
        <f t="shared" si="0"/>
        <v>529773973</v>
      </c>
      <c r="F24">
        <f t="shared" si="1"/>
        <v>4868641</v>
      </c>
    </row>
    <row r="25" spans="1:6" x14ac:dyDescent="0.35">
      <c r="A25" t="s">
        <v>21</v>
      </c>
      <c r="B25" t="s">
        <v>3</v>
      </c>
      <c r="C25">
        <v>600000</v>
      </c>
      <c r="D25">
        <v>65263374</v>
      </c>
      <c r="E25">
        <f t="shared" si="0"/>
        <v>595037347</v>
      </c>
      <c r="F25">
        <f t="shared" si="1"/>
        <v>5468641</v>
      </c>
    </row>
  </sheetData>
  <autoFilter ref="A1:E1" xr:uid="{00000000-0001-0000-0000-000000000000}">
    <sortState xmlns:xlrd2="http://schemas.microsoft.com/office/spreadsheetml/2017/richdata2" ref="A2:E25">
      <sortCondition ref="A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3B62-E14D-41B3-9563-11A6F5B089B6}">
  <dimension ref="A1:A2"/>
  <sheetViews>
    <sheetView workbookViewId="0">
      <selection activeCell="B16" sqref="B16"/>
    </sheetView>
  </sheetViews>
  <sheetFormatPr baseColWidth="10" defaultRowHeight="14.5" x14ac:dyDescent="0.35"/>
  <cols>
    <col min="1" max="1" width="31" bestFit="1" customWidth="1"/>
  </cols>
  <sheetData>
    <row r="1" spans="1:1" x14ac:dyDescent="0.35">
      <c r="A1" s="1" t="s">
        <v>0</v>
      </c>
    </row>
    <row r="2" spans="1:1" x14ac:dyDescent="0.35">
      <c r="A2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Valid sets</vt:lpstr>
      <vt:lpstr>Sets with corrupted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Duc-Nhan Nguyen</dc:creator>
  <cp:lastModifiedBy>Duc-Nhan Nguyen</cp:lastModifiedBy>
  <dcterms:created xsi:type="dcterms:W3CDTF">2015-06-05T18:17:20Z</dcterms:created>
  <dcterms:modified xsi:type="dcterms:W3CDTF">2025-12-02T21:04:56Z</dcterms:modified>
</cp:coreProperties>
</file>